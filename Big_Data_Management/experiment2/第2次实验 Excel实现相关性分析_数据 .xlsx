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filterPrivacy="1"/>
  <xr:revisionPtr revIDLastSave="0" documentId="13_ncr:1_{81EB0B84-DD67-F844-BC46-A81534EAFCEF}" xr6:coauthVersionLast="47" xr6:coauthVersionMax="47" xr10:uidLastSave="{00000000-0000-0000-0000-000000000000}"/>
  <bookViews>
    <workbookView xWindow="0" yWindow="740" windowWidth="30240" windowHeight="18900" activeTab="1" xr2:uid="{00000000-000D-0000-FFFF-FFFF00000000}"/>
  </bookViews>
  <sheets>
    <sheet name="相关系数&amp;协方差" sheetId="1" r:id="rId1"/>
    <sheet name="卡方检验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3" l="1"/>
  <c r="C15" i="3"/>
  <c r="D14" i="3"/>
  <c r="C14" i="3"/>
  <c r="F19" i="1"/>
  <c r="E19" i="1"/>
  <c r="F18" i="1"/>
  <c r="E18" i="1"/>
  <c r="F13" i="1"/>
  <c r="E13" i="1"/>
  <c r="F12" i="1"/>
  <c r="E12" i="1"/>
  <c r="G5" i="3" l="1"/>
</calcChain>
</file>

<file path=xl/sharedStrings.xml><?xml version="1.0" encoding="utf-8"?>
<sst xmlns="http://schemas.openxmlformats.org/spreadsheetml/2006/main" count="45" uniqueCount="21">
  <si>
    <t>体重</t>
  </si>
  <si>
    <t>血压</t>
  </si>
  <si>
    <t>相关系数</t>
    <phoneticPr fontId="1" type="noConversion"/>
  </si>
  <si>
    <t>协方差</t>
    <phoneticPr fontId="1" type="noConversion"/>
  </si>
  <si>
    <t>患病</t>
  </si>
  <si>
    <t>不患病</t>
  </si>
  <si>
    <t>合计</t>
  </si>
  <si>
    <r>
      <t>工种</t>
    </r>
    <r>
      <rPr>
        <sz val="10.5"/>
        <color theme="1"/>
        <rFont val="Calibri"/>
        <family val="2"/>
      </rPr>
      <t>1</t>
    </r>
  </si>
  <si>
    <r>
      <t>工种</t>
    </r>
    <r>
      <rPr>
        <sz val="10.5"/>
        <color theme="1"/>
        <rFont val="Calibri"/>
        <family val="2"/>
      </rPr>
      <t>2</t>
    </r>
  </si>
  <si>
    <t xml:space="preserve">            患病情况
从事工种</t>
    <phoneticPr fontId="1" type="noConversion"/>
  </si>
  <si>
    <t>列联表（观测频度）</t>
    <phoneticPr fontId="1" type="noConversion"/>
  </si>
  <si>
    <t>列联表（期望频度）</t>
    <phoneticPr fontId="1" type="noConversion"/>
  </si>
  <si>
    <t>p值</t>
    <phoneticPr fontId="1" type="noConversion"/>
  </si>
  <si>
    <t>=CHISQ.TEST(C6:D7,C14:D15)</t>
    <phoneticPr fontId="1" type="noConversion"/>
  </si>
  <si>
    <t>卡方检验函数</t>
    <phoneticPr fontId="1" type="noConversion"/>
  </si>
  <si>
    <t>p&lt;0.05（显著检验水平）</t>
    <phoneticPr fontId="1" type="noConversion"/>
  </si>
  <si>
    <t>假设H0不成立</t>
    <phoneticPr fontId="1" type="noConversion"/>
  </si>
  <si>
    <t>=E6*D8/E8</t>
    <phoneticPr fontId="1" type="noConversion"/>
  </si>
  <si>
    <t>=E6*C8/E8</t>
    <phoneticPr fontId="1" type="noConversion"/>
  </si>
  <si>
    <t>=E7*C8/E8</t>
    <phoneticPr fontId="1" type="noConversion"/>
  </si>
  <si>
    <t>=E15*D16/E16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</si>
</sst>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00E+00"/>
    <numFmt numFmtId="177" formatCode="0.0000000000_ "/>
  </numFmts>
  <fonts count="8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2"/>
      <scheme val="minor"/>
    </font>
    <font>
      <sz val="12"/>
      <color theme="1"/>
      <name val="等线"/>
      <family val="3"/>
      <charset val="134"/>
      <scheme val="minor"/>
    </font>
    <font>
      <sz val="10.5"/>
      <color theme="1"/>
      <name val="Times New Roman"/>
      <family val="1"/>
    </font>
    <font>
      <sz val="10.5"/>
      <color theme="1"/>
      <name val="宋体"/>
      <family val="3"/>
      <charset val="134"/>
    </font>
    <font>
      <sz val="10.5"/>
      <color theme="1"/>
      <name val="等线"/>
      <family val="3"/>
      <charset val="134"/>
    </font>
    <font>
      <sz val="10.5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 diagonalDown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medium">
        <color rgb="FF000000"/>
      </diagonal>
    </border>
  </borders>
  <cellStyleXfs count="1">
    <xf numFmtId="0" fontId="0" fillId="0" borderId="0"/>
  </cellStyleXfs>
  <cellXfs count="26">
    <xf numFmtId="0" fontId="0" fillId="0" borderId="0" xfId="0"/>
    <xf numFmtId="49" fontId="0" fillId="0" borderId="0" xfId="0" applyNumberFormat="1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49" fontId="3" fillId="0" borderId="0" xfId="0" quotePrefix="1" applyNumberFormat="1" applyFont="1"/>
    <xf numFmtId="0" fontId="3" fillId="0" borderId="0" xfId="0" quotePrefix="1" applyFont="1"/>
    <xf numFmtId="49" fontId="3" fillId="0" borderId="0" xfId="0" applyNumberFormat="1" applyFont="1"/>
    <xf numFmtId="0" fontId="5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0" fillId="0" borderId="2" xfId="0" applyBorder="1"/>
    <xf numFmtId="0" fontId="0" fillId="0" borderId="5" xfId="0" applyBorder="1" applyAlignment="1">
      <alignment horizontal="center"/>
    </xf>
    <xf numFmtId="0" fontId="0" fillId="0" borderId="0" xfId="0" applyAlignment="1">
      <alignment horizontal="center" vertical="center"/>
    </xf>
    <xf numFmtId="10" fontId="0" fillId="0" borderId="0" xfId="0" applyNumberFormat="1"/>
    <xf numFmtId="0" fontId="0" fillId="0" borderId="0" xfId="0" applyAlignment="1">
      <alignment horizontal="center"/>
    </xf>
    <xf numFmtId="0" fontId="6" fillId="0" borderId="7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6" fillId="0" borderId="8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177" fontId="3" fillId="0" borderId="0" xfId="0" applyNumberFormat="1" applyFont="1" applyAlignment="1">
      <alignment horizontal="center"/>
    </xf>
    <xf numFmtId="176" fontId="3" fillId="0" borderId="0" xfId="0" applyNumberFormat="1" applyFont="1" applyAlignment="1">
      <alignment horizontal="left"/>
    </xf>
    <xf numFmtId="0" fontId="3" fillId="0" borderId="0" xfId="0" quotePrefix="1" applyFont="1" applyAlignment="1">
      <alignment horizontal="left"/>
    </xf>
    <xf numFmtId="0" fontId="7" fillId="0" borderId="6" xfId="0" quotePrefix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27"/>
  <sheetViews>
    <sheetView workbookViewId="0">
      <selection activeCell="P18" sqref="P18"/>
    </sheetView>
  </sheetViews>
  <sheetFormatPr baseColWidth="10" defaultColWidth="8.83203125" defaultRowHeight="15"/>
  <cols>
    <col min="2" max="14" width="8.83203125" customWidth="1"/>
  </cols>
  <sheetData>
    <row r="2" spans="1:14" ht="17" thickBot="1">
      <c r="A2" s="2"/>
      <c r="B2" s="2"/>
      <c r="C2" s="2"/>
      <c r="D2" s="2"/>
      <c r="E2" s="2"/>
      <c r="F2" s="2"/>
      <c r="G2" s="2"/>
      <c r="H2" s="2"/>
    </row>
    <row r="3" spans="1:14" ht="17" thickTop="1">
      <c r="A3" s="2"/>
      <c r="B3" s="8" t="s">
        <v>0</v>
      </c>
      <c r="C3" s="9">
        <v>68</v>
      </c>
      <c r="D3" s="9">
        <v>48</v>
      </c>
      <c r="E3" s="9">
        <v>56</v>
      </c>
      <c r="F3" s="9">
        <v>60</v>
      </c>
      <c r="G3" s="9">
        <v>83</v>
      </c>
      <c r="H3" s="9">
        <v>56</v>
      </c>
      <c r="I3" s="9">
        <v>62</v>
      </c>
      <c r="J3" s="9">
        <v>59</v>
      </c>
      <c r="K3" s="9">
        <v>77</v>
      </c>
      <c r="L3" s="9">
        <v>58</v>
      </c>
      <c r="M3" s="9">
        <v>75</v>
      </c>
      <c r="N3" s="9">
        <v>64</v>
      </c>
    </row>
    <row r="4" spans="1:14" ht="17" thickBot="1">
      <c r="A4" s="2"/>
      <c r="B4" s="10" t="s">
        <v>1</v>
      </c>
      <c r="C4" s="11">
        <v>95</v>
      </c>
      <c r="D4" s="11">
        <v>98</v>
      </c>
      <c r="E4" s="11">
        <v>87</v>
      </c>
      <c r="F4" s="11">
        <v>96</v>
      </c>
      <c r="G4" s="11">
        <v>110</v>
      </c>
      <c r="H4" s="11">
        <v>155</v>
      </c>
      <c r="I4" s="11">
        <v>135</v>
      </c>
      <c r="J4" s="11">
        <v>128</v>
      </c>
      <c r="K4" s="11">
        <v>113</v>
      </c>
      <c r="L4" s="11">
        <v>168</v>
      </c>
      <c r="M4" s="11">
        <v>120</v>
      </c>
      <c r="N4" s="11">
        <v>115</v>
      </c>
    </row>
    <row r="5" spans="1:14" ht="17" thickTop="1">
      <c r="A5" s="2"/>
      <c r="B5" s="3"/>
      <c r="C5" s="3"/>
      <c r="D5" s="3"/>
      <c r="E5" s="2"/>
      <c r="F5" s="3"/>
      <c r="G5" s="3"/>
      <c r="H5" s="3"/>
    </row>
    <row r="6" spans="1:14" ht="16">
      <c r="A6" s="2"/>
      <c r="B6" s="3"/>
      <c r="C6" s="3"/>
      <c r="D6" s="3"/>
      <c r="E6" s="2"/>
      <c r="F6" s="4"/>
      <c r="G6" s="5"/>
      <c r="H6" s="4"/>
    </row>
    <row r="7" spans="1:14" ht="16">
      <c r="A7" s="2"/>
      <c r="B7" s="3"/>
      <c r="C7" s="3"/>
      <c r="D7" s="3"/>
      <c r="E7" s="2"/>
      <c r="F7" s="4"/>
      <c r="G7" s="5"/>
      <c r="H7" s="4"/>
    </row>
    <row r="8" spans="1:14" ht="16">
      <c r="A8" s="2"/>
      <c r="B8" s="3"/>
      <c r="C8" s="3"/>
      <c r="D8" s="3"/>
      <c r="E8" s="2"/>
      <c r="F8" s="4"/>
      <c r="G8" s="6"/>
      <c r="H8" s="4"/>
    </row>
    <row r="9" spans="1:14" ht="16">
      <c r="A9" s="2"/>
      <c r="B9" s="3"/>
      <c r="C9" s="3"/>
      <c r="D9" s="3"/>
      <c r="E9" s="2"/>
      <c r="F9" s="4"/>
      <c r="G9" s="7"/>
      <c r="H9" s="4"/>
    </row>
    <row r="10" spans="1:14" ht="17" thickBot="1">
      <c r="A10" s="2"/>
      <c r="B10" s="3"/>
      <c r="C10" s="3"/>
      <c r="D10" s="3"/>
      <c r="E10" s="2" t="s">
        <v>2</v>
      </c>
      <c r="F10" s="4"/>
      <c r="G10" s="7"/>
      <c r="H10" s="4"/>
    </row>
    <row r="11" spans="1:14" ht="16">
      <c r="A11" s="2"/>
      <c r="B11" s="3"/>
      <c r="C11" s="3"/>
      <c r="D11" s="13"/>
      <c r="E11" s="13" t="s">
        <v>0</v>
      </c>
      <c r="F11" s="13" t="s">
        <v>1</v>
      </c>
      <c r="K11" s="16"/>
      <c r="L11" s="16"/>
      <c r="M11" s="16"/>
    </row>
    <row r="12" spans="1:14" ht="16">
      <c r="A12" s="2"/>
      <c r="B12" s="3"/>
      <c r="C12" s="3"/>
      <c r="D12" t="s">
        <v>0</v>
      </c>
      <c r="E12">
        <f>CORREL(C3:N3,C3:N3)</f>
        <v>1.0000000000000002</v>
      </c>
      <c r="F12">
        <f>CORREL(C3:N3,C4:N4)</f>
        <v>-0.11242829065064702</v>
      </c>
      <c r="M12" s="15"/>
    </row>
    <row r="13" spans="1:14" ht="17" thickBot="1">
      <c r="A13" s="2"/>
      <c r="B13" s="3"/>
      <c r="C13" s="3"/>
      <c r="D13" s="12" t="s">
        <v>1</v>
      </c>
      <c r="E13" s="12">
        <f>CORREL(C4:N4,C3:N3)</f>
        <v>-0.11242829065064702</v>
      </c>
      <c r="F13" s="12">
        <f>CORREL(C4:N4,C4:N4)</f>
        <v>0.99999999999999978</v>
      </c>
      <c r="M13" s="15"/>
    </row>
    <row r="14" spans="1:14" ht="16">
      <c r="A14" s="2"/>
      <c r="M14" s="15"/>
    </row>
    <row r="15" spans="1:14" ht="16">
      <c r="A15" s="2"/>
      <c r="M15" s="15"/>
    </row>
    <row r="16" spans="1:14" ht="17" thickBot="1">
      <c r="A16" s="2"/>
      <c r="B16" s="2"/>
      <c r="C16" s="2"/>
      <c r="E16" s="14" t="s">
        <v>3</v>
      </c>
    </row>
    <row r="17" spans="4:7">
      <c r="D17" s="13"/>
      <c r="E17" s="13" t="s">
        <v>0</v>
      </c>
      <c r="F17" s="13" t="s">
        <v>1</v>
      </c>
    </row>
    <row r="18" spans="4:7">
      <c r="D18" t="s">
        <v>0</v>
      </c>
      <c r="E18">
        <f>_xlfn.COVARIANCE.P(C3:N3, C3:N3)</f>
        <v>94.305555555555557</v>
      </c>
      <c r="F18">
        <f>_xlfn.COVARIANCE.P(C3:N3,C4:N4)</f>
        <v>-25.861111111111114</v>
      </c>
    </row>
    <row r="19" spans="4:7" ht="16" thickBot="1">
      <c r="D19" s="12" t="s">
        <v>1</v>
      </c>
      <c r="E19" s="12">
        <f>_xlfn.COVARIANCE.P(C4:N4,C3:N3)</f>
        <v>-25.861111111111114</v>
      </c>
      <c r="F19" s="12">
        <f>_xlfn.COVARIANCE.P(C4:N4,C4:N4)</f>
        <v>561.05555555555554</v>
      </c>
    </row>
    <row r="24" spans="4:7">
      <c r="G24" s="1"/>
    </row>
    <row r="25" spans="4:7">
      <c r="G25" s="1"/>
    </row>
    <row r="26" spans="4:7">
      <c r="G26" s="1"/>
    </row>
    <row r="27" spans="4:7">
      <c r="G27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7"/>
  <sheetViews>
    <sheetView tabSelected="1" workbookViewId="0">
      <selection activeCell="H16" sqref="H16"/>
    </sheetView>
  </sheetViews>
  <sheetFormatPr baseColWidth="10" defaultColWidth="8.83203125" defaultRowHeight="15"/>
  <cols>
    <col min="2" max="2" width="14.83203125" customWidth="1"/>
    <col min="3" max="5" width="12.83203125" customWidth="1"/>
    <col min="6" max="6" width="10.6640625" customWidth="1"/>
    <col min="7" max="7" width="15.1640625" customWidth="1"/>
    <col min="8" max="8" width="31.5" customWidth="1"/>
  </cols>
  <sheetData>
    <row r="1" spans="2:8" ht="26" customHeight="1"/>
    <row r="2" spans="2:8" ht="26" customHeight="1"/>
    <row r="3" spans="2:8" ht="26" customHeight="1"/>
    <row r="4" spans="2:8" ht="26" customHeight="1" thickBot="1">
      <c r="B4" s="25" t="s">
        <v>10</v>
      </c>
      <c r="C4" s="25"/>
      <c r="D4" s="25"/>
      <c r="E4" s="25"/>
      <c r="F4" s="2"/>
      <c r="G4" s="2" t="s">
        <v>12</v>
      </c>
      <c r="H4" s="2" t="s">
        <v>14</v>
      </c>
    </row>
    <row r="5" spans="2:8" ht="33.5" customHeight="1" thickBot="1">
      <c r="B5" s="19" t="s">
        <v>9</v>
      </c>
      <c r="C5" s="20" t="s">
        <v>4</v>
      </c>
      <c r="D5" s="20" t="s">
        <v>5</v>
      </c>
      <c r="E5" s="20" t="s">
        <v>6</v>
      </c>
      <c r="F5" s="3"/>
      <c r="G5" s="21">
        <f>_xlfn.CHISQ.TEST(C6:D7,C14:D15)</f>
        <v>2.2592343374049424E-7</v>
      </c>
      <c r="H5" s="23" t="s">
        <v>13</v>
      </c>
    </row>
    <row r="6" spans="2:8" ht="20.75" customHeight="1" thickBot="1">
      <c r="B6" s="17" t="s">
        <v>7</v>
      </c>
      <c r="C6" s="18">
        <v>386</v>
      </c>
      <c r="D6" s="18">
        <v>895</v>
      </c>
      <c r="E6" s="18">
        <v>1281</v>
      </c>
      <c r="F6" s="4"/>
      <c r="G6" s="7"/>
      <c r="H6" s="4"/>
    </row>
    <row r="7" spans="2:8" ht="20.75" customHeight="1" thickBot="1">
      <c r="B7" s="17" t="s">
        <v>8</v>
      </c>
      <c r="C7" s="18">
        <v>65</v>
      </c>
      <c r="D7" s="18">
        <v>322</v>
      </c>
      <c r="E7" s="18">
        <v>387</v>
      </c>
      <c r="F7" s="4"/>
      <c r="G7" s="22" t="s">
        <v>15</v>
      </c>
      <c r="H7" s="4"/>
    </row>
    <row r="8" spans="2:8" ht="20.75" customHeight="1" thickBot="1">
      <c r="B8" s="17" t="s">
        <v>6</v>
      </c>
      <c r="C8" s="18">
        <v>451</v>
      </c>
      <c r="D8" s="18">
        <v>1217</v>
      </c>
      <c r="E8" s="18">
        <v>1668</v>
      </c>
      <c r="F8" s="4"/>
      <c r="G8" s="7" t="s">
        <v>16</v>
      </c>
      <c r="H8" s="4"/>
    </row>
    <row r="9" spans="2:8" ht="16">
      <c r="B9" s="3"/>
      <c r="C9" s="3"/>
      <c r="D9" s="3"/>
      <c r="E9" s="4"/>
      <c r="F9" s="4"/>
      <c r="G9" s="7"/>
      <c r="H9" s="4"/>
    </row>
    <row r="10" spans="2:8" ht="16">
      <c r="B10" s="3"/>
      <c r="C10" s="3"/>
      <c r="D10" s="3"/>
      <c r="E10" s="4"/>
      <c r="F10" s="4"/>
      <c r="G10" s="7"/>
      <c r="H10" s="4"/>
    </row>
    <row r="11" spans="2:8" ht="16">
      <c r="B11" s="3"/>
      <c r="C11" s="3"/>
      <c r="D11" s="3"/>
      <c r="E11" s="4"/>
      <c r="F11" s="4"/>
      <c r="G11" s="7"/>
      <c r="H11" s="4"/>
    </row>
    <row r="12" spans="2:8" ht="21.75" customHeight="1" thickBot="1">
      <c r="B12" s="25" t="s">
        <v>11</v>
      </c>
      <c r="C12" s="25"/>
      <c r="D12" s="25"/>
      <c r="E12" s="25"/>
      <c r="F12" s="4"/>
      <c r="G12" s="7"/>
      <c r="H12" s="4"/>
    </row>
    <row r="13" spans="2:8" ht="33" thickBot="1">
      <c r="B13" s="19" t="s">
        <v>9</v>
      </c>
      <c r="C13" s="20" t="s">
        <v>4</v>
      </c>
      <c r="D13" s="20" t="s">
        <v>5</v>
      </c>
      <c r="E13" s="20" t="s">
        <v>6</v>
      </c>
      <c r="F13" s="4"/>
      <c r="G13" s="7"/>
      <c r="H13" s="4"/>
    </row>
    <row r="14" spans="2:8" ht="20.75" customHeight="1" thickBot="1">
      <c r="B14" s="17" t="s">
        <v>7</v>
      </c>
      <c r="C14" s="18">
        <f>E6*C8/E8</f>
        <v>346.36151079136692</v>
      </c>
      <c r="D14" s="18">
        <f>E6*D8/E8</f>
        <v>934.63848920863313</v>
      </c>
      <c r="E14" s="18">
        <v>1281</v>
      </c>
      <c r="F14" s="4"/>
      <c r="G14" s="7"/>
      <c r="H14" s="4"/>
    </row>
    <row r="15" spans="2:8" ht="20.75" customHeight="1" thickBot="1">
      <c r="B15" s="17" t="s">
        <v>8</v>
      </c>
      <c r="C15" s="18">
        <f>E7*C8/E8</f>
        <v>104.63848920863309</v>
      </c>
      <c r="D15" s="18">
        <f>E15*D16/E16</f>
        <v>282.36151079136692</v>
      </c>
      <c r="E15" s="18">
        <v>387</v>
      </c>
      <c r="F15" s="4"/>
      <c r="G15" s="7"/>
      <c r="H15" s="4"/>
    </row>
    <row r="16" spans="2:8" ht="20.75" customHeight="1" thickBot="1">
      <c r="B16" s="17" t="s">
        <v>6</v>
      </c>
      <c r="C16" s="18">
        <v>451</v>
      </c>
      <c r="D16" s="18">
        <v>1217</v>
      </c>
      <c r="E16" s="18">
        <v>1668</v>
      </c>
      <c r="F16" s="4"/>
      <c r="G16" s="7"/>
      <c r="H16" s="4"/>
    </row>
    <row r="17" spans="2:8" ht="16">
      <c r="B17" s="4"/>
      <c r="C17" s="4"/>
      <c r="D17" s="4"/>
      <c r="E17" s="4"/>
      <c r="F17" s="4"/>
      <c r="G17" s="7"/>
      <c r="H17" s="4"/>
    </row>
    <row r="18" spans="2:8" ht="16">
      <c r="B18" s="4"/>
      <c r="C18" s="4"/>
      <c r="D18" s="4"/>
      <c r="E18" s="4"/>
      <c r="F18" s="4"/>
      <c r="G18" s="7"/>
      <c r="H18" s="4"/>
    </row>
    <row r="19" spans="2:8" ht="16" thickBot="1">
      <c r="B19" s="25" t="s">
        <v>11</v>
      </c>
      <c r="C19" s="25"/>
      <c r="D19" s="25"/>
      <c r="E19" s="25"/>
      <c r="G19" s="1"/>
    </row>
    <row r="20" spans="2:8" ht="33" thickBot="1">
      <c r="B20" s="19" t="s">
        <v>9</v>
      </c>
      <c r="C20" s="20" t="s">
        <v>4</v>
      </c>
      <c r="D20" s="20" t="s">
        <v>5</v>
      </c>
      <c r="E20" s="20" t="s">
        <v>6</v>
      </c>
      <c r="G20" s="1"/>
    </row>
    <row r="21" spans="2:8" ht="22.25" customHeight="1" thickBot="1">
      <c r="B21" s="17" t="s">
        <v>7</v>
      </c>
      <c r="C21" s="24" t="s">
        <v>18</v>
      </c>
      <c r="D21" s="24" t="s">
        <v>17</v>
      </c>
      <c r="E21" s="18">
        <v>1281</v>
      </c>
      <c r="G21" s="1"/>
    </row>
    <row r="22" spans="2:8" ht="22.25" customHeight="1" thickBot="1">
      <c r="B22" s="17" t="s">
        <v>8</v>
      </c>
      <c r="C22" s="24" t="s">
        <v>19</v>
      </c>
      <c r="D22" s="24" t="s">
        <v>20</v>
      </c>
      <c r="E22" s="18">
        <v>387</v>
      </c>
      <c r="G22" s="1"/>
    </row>
    <row r="23" spans="2:8" ht="22.25" customHeight="1" thickBot="1">
      <c r="B23" s="17" t="s">
        <v>6</v>
      </c>
      <c r="C23" s="18">
        <v>451</v>
      </c>
      <c r="D23" s="18">
        <v>1217</v>
      </c>
      <c r="E23" s="18">
        <v>1668</v>
      </c>
    </row>
    <row r="25" spans="2:8">
      <c r="G25" s="1"/>
    </row>
    <row r="26" spans="2:8">
      <c r="G26" s="1"/>
    </row>
    <row r="27" spans="2:8">
      <c r="G27" s="1"/>
    </row>
  </sheetData>
  <mergeCells count="3">
    <mergeCell ref="B12:E12"/>
    <mergeCell ref="B19:E19"/>
    <mergeCell ref="B4:E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相关系数&amp;协方差</vt:lpstr>
      <vt:lpstr>卡方检验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2024-03-21T07:57:20Z</dcterms:modified>
</cp:coreProperties>
</file>